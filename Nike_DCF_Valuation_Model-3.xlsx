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Assumptions" sheetId="2" r:id="rId5"/>
    <sheet state="visible" name="DCF Valuation" sheetId="3" r:id="rId6"/>
    <sheet state="visible" name="Historical Financials" sheetId="4" r:id="rId7"/>
    <sheet state="visible" name="Operating Forecast" sheetId="5" r:id="rId8"/>
    <sheet state="visible" name="Sensitivity" sheetId="6" r:id="rId9"/>
    <sheet state="visible" name="Public Comps " sheetId="7" r:id="rId10"/>
    <sheet state="visible" name="Football Field " sheetId="8" r:id="rId11"/>
  </sheets>
  <definedNames/>
  <calcPr/>
</workbook>
</file>

<file path=xl/sharedStrings.xml><?xml version="1.0" encoding="utf-8"?>
<sst xmlns="http://schemas.openxmlformats.org/spreadsheetml/2006/main" count="151" uniqueCount="130">
  <si>
    <t>Nike INC- Intrinsic Valuation (DCF)</t>
  </si>
  <si>
    <t xml:space="preserve">Equity Research / Investment Banking Style Model </t>
  </si>
  <si>
    <t>Methodology</t>
  </si>
  <si>
    <t xml:space="preserve">Unlevered Discounted Cash Flow </t>
  </si>
  <si>
    <t>Explicit forecast period: FY2025E-FY2029E</t>
  </si>
  <si>
    <t xml:space="preserve">Terminal Value: Perpetuity growth method </t>
  </si>
  <si>
    <t>Key Assumptions</t>
  </si>
  <si>
    <t>WACC: 8.1%</t>
  </si>
  <si>
    <t>Terminal growth rate: 2.5%</t>
  </si>
  <si>
    <t xml:space="preserve">Tax Rate: effective rate </t>
  </si>
  <si>
    <t xml:space="preserve">Forecast driven by revenue growth and EBIT margin expansion </t>
  </si>
  <si>
    <t>Valuation Output (Base Case)</t>
  </si>
  <si>
    <t xml:space="preserve">Enterprise Value: $132bn </t>
  </si>
  <si>
    <t>Equity Value: $140bn</t>
  </si>
  <si>
    <t>Implied Share Price: $87-88</t>
  </si>
  <si>
    <t>Sensitivity Analysis</t>
  </si>
  <si>
    <t xml:space="preserve">Valuation most sensitive to: </t>
  </si>
  <si>
    <t>Cost of capital (WACC)</t>
  </si>
  <si>
    <t xml:space="preserve">Terminal growth assumptions </t>
  </si>
  <si>
    <t xml:space="preserve">Prepared by: Max Taylor </t>
  </si>
  <si>
    <t>Date: December 2025</t>
  </si>
  <si>
    <t>This model estimates Nike’s intrinsic equity value under normalized growth, margin, and cost-of-capital assumptions to assess whether the current market valuation implies realistic operating outcomes.</t>
  </si>
  <si>
    <t xml:space="preserve">Assumption Name </t>
  </si>
  <si>
    <t xml:space="preserve">Rational/Source </t>
  </si>
  <si>
    <t>FY2025</t>
  </si>
  <si>
    <t>FY2026</t>
  </si>
  <si>
    <t>FY2027</t>
  </si>
  <si>
    <t>FY2028</t>
  </si>
  <si>
    <t>FY2029</t>
  </si>
  <si>
    <t>Revenue Growth %</t>
  </si>
  <si>
    <t xml:space="preserve">Normalized growth for mature global brand </t>
  </si>
  <si>
    <t>EBIT Margin %</t>
  </si>
  <si>
    <t>Margin recovery toward historical mid-teens</t>
  </si>
  <si>
    <t xml:space="preserve">Effective Tax Rate </t>
  </si>
  <si>
    <t xml:space="preserve">Normalized historical effective rate </t>
  </si>
  <si>
    <t xml:space="preserve">D&amp;A Assumptions </t>
  </si>
  <si>
    <t xml:space="preserve">Historical average depreication intensity </t>
  </si>
  <si>
    <t xml:space="preserve">CapEx % of Revenue </t>
  </si>
  <si>
    <t xml:space="preserve">Maintenece and growth capital spending </t>
  </si>
  <si>
    <t xml:space="preserve">Change in WC % of Revenue </t>
  </si>
  <si>
    <t xml:space="preserve">Normalized wokring capital investment </t>
  </si>
  <si>
    <t xml:space="preserve">DCF Valuation </t>
  </si>
  <si>
    <t>FY2025E</t>
  </si>
  <si>
    <t>FY2026E</t>
  </si>
  <si>
    <t>FY2027E</t>
  </si>
  <si>
    <t>FY2028E</t>
  </si>
  <si>
    <t>FY2029E</t>
  </si>
  <si>
    <t>“DCF implies ~$87/share based on 8.1% WACC and 2.5% terminal growth.”</t>
  </si>
  <si>
    <t xml:space="preserve">WACC Assumptions </t>
  </si>
  <si>
    <t xml:space="preserve">Risk-Free Rate </t>
  </si>
  <si>
    <t xml:space="preserve">Equity Risk Premium </t>
  </si>
  <si>
    <t>Beta</t>
  </si>
  <si>
    <t xml:space="preserve">Cost of Equity </t>
  </si>
  <si>
    <t>Cost of Debt (Pre-Tax)</t>
  </si>
  <si>
    <t xml:space="preserve">Tax Rate </t>
  </si>
  <si>
    <t>Cost of Debt (After-Tax)</t>
  </si>
  <si>
    <t>Target Debt %</t>
  </si>
  <si>
    <t>Target Equity %</t>
  </si>
  <si>
    <t>WACC</t>
  </si>
  <si>
    <t>Discout Factor</t>
  </si>
  <si>
    <t xml:space="preserve">Unlevered Free Cash Flow </t>
  </si>
  <si>
    <t xml:space="preserve">PV of Unlevered Free Cash Flow </t>
  </si>
  <si>
    <t xml:space="preserve">Terminal Growth Rate </t>
  </si>
  <si>
    <t>Terminal Value</t>
  </si>
  <si>
    <t xml:space="preserve">PV of Terminal Value </t>
  </si>
  <si>
    <t xml:space="preserve">Enterprise Value </t>
  </si>
  <si>
    <t xml:space="preserve">Cash &amp; Equivalents </t>
  </si>
  <si>
    <t xml:space="preserve">Total Debt </t>
  </si>
  <si>
    <t>Net Debt (Cash - Debt)</t>
  </si>
  <si>
    <t xml:space="preserve">Equity Value </t>
  </si>
  <si>
    <t xml:space="preserve">Diluted Shares Outstanding </t>
  </si>
  <si>
    <t xml:space="preserve">Implied Share Price </t>
  </si>
  <si>
    <t>FY 2020</t>
  </si>
  <si>
    <t>FY 2021</t>
  </si>
  <si>
    <t>FY 2022</t>
  </si>
  <si>
    <t>FY 2023</t>
  </si>
  <si>
    <t>FY 2024</t>
  </si>
  <si>
    <t>Income Statment (USD Millions)</t>
  </si>
  <si>
    <t xml:space="preserve">Revenue </t>
  </si>
  <si>
    <t xml:space="preserve">Operating Income (EBIT) </t>
  </si>
  <si>
    <t xml:space="preserve">Cash Flow Statement </t>
  </si>
  <si>
    <t xml:space="preserve">Deprecaition and Amortization </t>
  </si>
  <si>
    <t xml:space="preserve">D&amp;A % of Revenue </t>
  </si>
  <si>
    <t xml:space="preserve">Capital Expenditures </t>
  </si>
  <si>
    <t xml:space="preserve">Change in Working Capital </t>
  </si>
  <si>
    <t xml:space="preserve">Change WC % of Revenue </t>
  </si>
  <si>
    <t xml:space="preserve">Balance Sheet </t>
  </si>
  <si>
    <t>Shares Outstanding (Diluted, mm)</t>
  </si>
  <si>
    <t>Forecast Financials (USD millions)</t>
  </si>
  <si>
    <t>FY2024A</t>
  </si>
  <si>
    <t>EBIT</t>
  </si>
  <si>
    <t xml:space="preserve">Tax @ Effective Rate </t>
  </si>
  <si>
    <t>NOPAT</t>
  </si>
  <si>
    <t xml:space="preserve">Depreciation &amp; Amortization </t>
  </si>
  <si>
    <t>Implied Share Price Sensitivity ($)</t>
  </si>
  <si>
    <t xml:space="preserve">Company </t>
  </si>
  <si>
    <t xml:space="preserve">Ticker </t>
  </si>
  <si>
    <t>EV ($bn)</t>
  </si>
  <si>
    <t>LTM Revenue ($bn)</t>
  </si>
  <si>
    <t>LTM EBTIDA</t>
  </si>
  <si>
    <t xml:space="preserve">EV / Revenue </t>
  </si>
  <si>
    <t>EV / EBTIDA</t>
  </si>
  <si>
    <t xml:space="preserve">Nike </t>
  </si>
  <si>
    <t>NKE</t>
  </si>
  <si>
    <t>Adidas</t>
  </si>
  <si>
    <t>ADDYY</t>
  </si>
  <si>
    <t>Lululemon</t>
  </si>
  <si>
    <t>LULU</t>
  </si>
  <si>
    <t>Puma</t>
  </si>
  <si>
    <t>PUM.DE</t>
  </si>
  <si>
    <t xml:space="preserve">Under Armour </t>
  </si>
  <si>
    <t>UA</t>
  </si>
  <si>
    <t xml:space="preserve">Trading Multiples - Median </t>
  </si>
  <si>
    <t>Median EV / Revenue (LTM)</t>
  </si>
  <si>
    <t>Median EV / EBTIDA (LTM)</t>
  </si>
  <si>
    <t>Median excludes Puma due to outlier EBITDA multiple</t>
  </si>
  <si>
    <t xml:space="preserve">Valuation Method </t>
  </si>
  <si>
    <t xml:space="preserve">Low </t>
  </si>
  <si>
    <t>High</t>
  </si>
  <si>
    <t xml:space="preserve">Range </t>
  </si>
  <si>
    <t xml:space="preserve">LTM Revenue </t>
  </si>
  <si>
    <t>DCF</t>
  </si>
  <si>
    <t>Current Share Price</t>
  </si>
  <si>
    <t xml:space="preserve">Net Debt </t>
  </si>
  <si>
    <t xml:space="preserve">Diluted Shares </t>
  </si>
  <si>
    <t xml:space="preserve">DCF Implied Share Price </t>
  </si>
  <si>
    <t xml:space="preserve">EV / Revenue - Low Multiple </t>
  </si>
  <si>
    <t xml:space="preserve">EV / Revenue  - High Multiple </t>
  </si>
  <si>
    <t xml:space="preserve">EV / EBITDA - Low Multiple </t>
  </si>
  <si>
    <t>EV / EBITDA - High 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</si>
</sst>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color rgb="FFE06666"/>
      <name val="Arial"/>
      <scheme val="minor"/>
    </font>
    <font>
      <sz val="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2" numFmtId="10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3" xfId="0" applyFont="1" applyNumberFormat="1"/>
    <xf borderId="0" fillId="0" fontId="2" numFmtId="1" xfId="0" applyFont="1" applyNumberFormat="1"/>
    <xf borderId="0" fillId="2" fontId="2" numFmtId="0" xfId="0" applyFont="1"/>
    <xf borderId="0" fillId="0" fontId="4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9" xfId="0" applyFont="1" applyNumberFormat="1"/>
    <xf borderId="0" fillId="0" fontId="2" numFmtId="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180975</xdr:rowOff>
    </xdr:from>
    <xdr:ext cx="8029575" cy="3181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1" t="s">
        <v>0</v>
      </c>
    </row>
    <row r="2">
      <c r="A2" s="2" t="s">
        <v>1</v>
      </c>
      <c r="C2" s="3"/>
    </row>
    <row r="4">
      <c r="A4" s="4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9">
      <c r="A9" s="4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5">
      <c r="A15" s="4" t="s">
        <v>11</v>
      </c>
    </row>
    <row r="16">
      <c r="A16" s="2" t="s">
        <v>12</v>
      </c>
    </row>
    <row r="17">
      <c r="A17" s="2" t="s">
        <v>13</v>
      </c>
    </row>
    <row r="18">
      <c r="A18" s="2" t="s">
        <v>14</v>
      </c>
    </row>
    <row r="20">
      <c r="A20" s="4" t="s">
        <v>15</v>
      </c>
    </row>
    <row r="21">
      <c r="A21" s="2" t="s">
        <v>16</v>
      </c>
    </row>
    <row r="22">
      <c r="A22" s="2" t="s">
        <v>17</v>
      </c>
    </row>
    <row r="23">
      <c r="A23" s="2" t="s">
        <v>18</v>
      </c>
    </row>
    <row r="25">
      <c r="A25" s="2" t="s">
        <v>19</v>
      </c>
    </row>
    <row r="26">
      <c r="A26" s="2" t="s">
        <v>20</v>
      </c>
    </row>
    <row r="28">
      <c r="A28" s="5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3.0"/>
  </cols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>
      <c r="A2" s="2" t="s">
        <v>29</v>
      </c>
      <c r="B2" s="2" t="s">
        <v>30</v>
      </c>
      <c r="C2" s="7">
        <v>0.05</v>
      </c>
      <c r="D2" s="8">
        <v>0.045</v>
      </c>
      <c r="E2" s="7">
        <v>0.04</v>
      </c>
      <c r="F2" s="8">
        <v>0.035</v>
      </c>
      <c r="G2" s="7">
        <v>0.03</v>
      </c>
    </row>
    <row r="3">
      <c r="A3" s="2" t="s">
        <v>31</v>
      </c>
      <c r="B3" s="2" t="s">
        <v>32</v>
      </c>
      <c r="C3" s="8">
        <v>0.125</v>
      </c>
      <c r="D3" s="7">
        <v>0.13</v>
      </c>
      <c r="E3" s="8">
        <v>0.135</v>
      </c>
      <c r="F3" s="7">
        <v>0.14</v>
      </c>
      <c r="G3" s="8">
        <v>0.14</v>
      </c>
    </row>
    <row r="4">
      <c r="A4" s="2" t="s">
        <v>33</v>
      </c>
      <c r="B4" s="2" t="s">
        <v>34</v>
      </c>
      <c r="C4" s="7">
        <v>0.18</v>
      </c>
      <c r="D4" s="7">
        <v>0.18</v>
      </c>
      <c r="E4" s="7">
        <v>0.18</v>
      </c>
      <c r="F4" s="7">
        <v>0.18</v>
      </c>
      <c r="G4" s="7">
        <v>0.18</v>
      </c>
    </row>
    <row r="5">
      <c r="A5" s="2" t="s">
        <v>35</v>
      </c>
      <c r="B5" s="2" t="s">
        <v>36</v>
      </c>
      <c r="C5" s="8">
        <v>0.015</v>
      </c>
      <c r="D5" s="8">
        <v>0.015</v>
      </c>
      <c r="E5" s="8">
        <v>0.015</v>
      </c>
      <c r="F5" s="8">
        <v>0.015</v>
      </c>
      <c r="G5" s="8">
        <v>0.015</v>
      </c>
    </row>
    <row r="6">
      <c r="A6" s="2" t="s">
        <v>37</v>
      </c>
      <c r="B6" s="2" t="s">
        <v>38</v>
      </c>
      <c r="C6" s="7">
        <v>-0.02</v>
      </c>
      <c r="D6" s="7">
        <v>-0.02</v>
      </c>
      <c r="E6" s="7">
        <v>-0.02</v>
      </c>
      <c r="F6" s="7">
        <v>-0.02</v>
      </c>
      <c r="G6" s="7">
        <v>-0.02</v>
      </c>
    </row>
    <row r="7">
      <c r="A7" s="2" t="s">
        <v>39</v>
      </c>
      <c r="B7" s="2" t="s">
        <v>40</v>
      </c>
      <c r="C7" s="8">
        <v>-0.005</v>
      </c>
      <c r="D7" s="8">
        <v>-0.005</v>
      </c>
      <c r="E7" s="8">
        <v>-0.005</v>
      </c>
      <c r="F7" s="8">
        <v>-0.005</v>
      </c>
      <c r="G7" s="8">
        <v>-0.005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</row>
    <row r="2">
      <c r="A2" s="9" t="s">
        <v>47</v>
      </c>
    </row>
    <row r="3">
      <c r="A3" s="4" t="s">
        <v>48</v>
      </c>
    </row>
    <row r="5">
      <c r="A5" s="2" t="s">
        <v>49</v>
      </c>
      <c r="B5" s="7">
        <v>0.04</v>
      </c>
    </row>
    <row r="6">
      <c r="A6" s="2" t="s">
        <v>50</v>
      </c>
      <c r="B6" s="8">
        <v>0.055</v>
      </c>
    </row>
    <row r="7">
      <c r="A7" s="2" t="s">
        <v>51</v>
      </c>
      <c r="B7" s="2">
        <v>1.1</v>
      </c>
    </row>
    <row r="8">
      <c r="A8" s="2" t="s">
        <v>52</v>
      </c>
      <c r="B8" s="10">
        <f>B5+B7*B6</f>
        <v>0.1005</v>
      </c>
    </row>
    <row r="10">
      <c r="A10" s="2" t="s">
        <v>53</v>
      </c>
      <c r="B10" s="8">
        <v>0.045</v>
      </c>
    </row>
    <row r="11">
      <c r="A11" s="2" t="s">
        <v>54</v>
      </c>
      <c r="B11" s="7">
        <v>0.18</v>
      </c>
    </row>
    <row r="12">
      <c r="A12" s="2" t="s">
        <v>55</v>
      </c>
      <c r="B12" s="11">
        <f>B10*(1-B11)</f>
        <v>0.0369</v>
      </c>
    </row>
    <row r="14">
      <c r="A14" s="2" t="s">
        <v>56</v>
      </c>
      <c r="B14" s="7">
        <v>0.3</v>
      </c>
    </row>
    <row r="15">
      <c r="A15" s="2" t="s">
        <v>57</v>
      </c>
      <c r="B15" s="7">
        <v>0.7</v>
      </c>
    </row>
    <row r="16">
      <c r="A16" s="2" t="s">
        <v>58</v>
      </c>
      <c r="B16" s="10">
        <f>B8*B15+B12*B14</f>
        <v>0.08142</v>
      </c>
    </row>
    <row r="18">
      <c r="A18" s="2" t="s">
        <v>59</v>
      </c>
      <c r="B18" s="12">
        <f>1/(1+$B$16)^1</f>
        <v>0.9247101034</v>
      </c>
      <c r="C18" s="12">
        <f>1/(1+$B$16)^2</f>
        <v>0.8550887753</v>
      </c>
      <c r="D18" s="12">
        <f>1/(1+$B$16)^3</f>
        <v>0.7907092298</v>
      </c>
      <c r="E18" s="12">
        <f>1/(1+$B$16)^4</f>
        <v>0.7311768136</v>
      </c>
      <c r="F18" s="12">
        <f>1/(1+$B$16)^5</f>
        <v>0.6761265869</v>
      </c>
    </row>
    <row r="20">
      <c r="A20" s="2" t="s">
        <v>60</v>
      </c>
      <c r="B20" s="13">
        <f>'Operating Forecast'!C16</f>
        <v>4988.53425</v>
      </c>
      <c r="C20" s="13">
        <f>'Operating Forecast'!D16</f>
        <v>5444.081805</v>
      </c>
      <c r="D20" s="13">
        <f>'Operating Forecast'!E16</f>
        <v>5902.151131</v>
      </c>
      <c r="E20" s="13">
        <f>'Operating Forecast'!F16</f>
        <v>6357.443186</v>
      </c>
      <c r="F20" s="13">
        <f>'Operating Forecast'!G16</f>
        <v>6548.166482</v>
      </c>
    </row>
    <row r="21">
      <c r="A21" s="2" t="s">
        <v>61</v>
      </c>
      <c r="B21" s="14">
        <f t="shared" ref="B21:F21" si="1">B20*B18</f>
        <v>4612.948022</v>
      </c>
      <c r="C21" s="14">
        <f t="shared" si="1"/>
        <v>4655.173243</v>
      </c>
      <c r="D21" s="14">
        <f t="shared" si="1"/>
        <v>4666.885375</v>
      </c>
      <c r="E21" s="14">
        <f t="shared" si="1"/>
        <v>4648.415052</v>
      </c>
      <c r="F21" s="14">
        <f t="shared" si="1"/>
        <v>4427.389454</v>
      </c>
    </row>
    <row r="23">
      <c r="A23" s="2" t="s">
        <v>62</v>
      </c>
      <c r="B23" s="8">
        <v>0.025</v>
      </c>
    </row>
    <row r="24">
      <c r="A24" s="2" t="s">
        <v>63</v>
      </c>
      <c r="F24" s="14">
        <f>F20 * (1 + $B$23) / ($B$16 - $B$23)</f>
        <v>118962.6133</v>
      </c>
    </row>
    <row r="25">
      <c r="A25" s="2" t="s">
        <v>64</v>
      </c>
      <c r="F25" s="14">
        <f>F24*F18</f>
        <v>80433.78572</v>
      </c>
    </row>
    <row r="26">
      <c r="A26" s="2" t="s">
        <v>65</v>
      </c>
      <c r="B26" s="14">
        <f>SUM(B21:F21) + F25</f>
        <v>103444.5969</v>
      </c>
    </row>
    <row r="28">
      <c r="A28" s="2" t="s">
        <v>66</v>
      </c>
      <c r="B28" s="13">
        <f>'Historical Financials'!F17</f>
        <v>9860</v>
      </c>
      <c r="C28" s="15"/>
      <c r="D28" s="15"/>
      <c r="E28" s="15"/>
      <c r="F28" s="15"/>
    </row>
    <row r="29">
      <c r="A29" s="2" t="s">
        <v>67</v>
      </c>
      <c r="B29" s="13">
        <f>'Historical Financials'!F18</f>
        <v>8903</v>
      </c>
      <c r="C29" s="15"/>
      <c r="D29" s="15"/>
      <c r="E29" s="15"/>
      <c r="F29" s="15"/>
    </row>
    <row r="30">
      <c r="A30" s="2" t="s">
        <v>68</v>
      </c>
      <c r="B30" s="13">
        <f>B29-B28</f>
        <v>-957</v>
      </c>
      <c r="C30" s="15"/>
      <c r="D30" s="15"/>
      <c r="E30" s="15"/>
      <c r="F30" s="15"/>
    </row>
    <row r="31">
      <c r="A31" s="2" t="s">
        <v>69</v>
      </c>
      <c r="B31" s="14">
        <f>B26-B30</f>
        <v>104401.5969</v>
      </c>
      <c r="C31" s="15"/>
      <c r="D31" s="15"/>
      <c r="E31" s="15"/>
      <c r="F31" s="15"/>
    </row>
    <row r="32">
      <c r="A32" s="2" t="s">
        <v>70</v>
      </c>
      <c r="B32" s="13">
        <f>'Historical Financials'!F19</f>
        <v>1205</v>
      </c>
      <c r="C32" s="15"/>
      <c r="D32" s="15"/>
      <c r="E32" s="15"/>
      <c r="F32" s="15"/>
    </row>
    <row r="33">
      <c r="A33" s="2" t="s">
        <v>71</v>
      </c>
      <c r="B33" s="14">
        <f>B31/B32</f>
        <v>86.64032935</v>
      </c>
      <c r="C33" s="15"/>
      <c r="D33" s="15"/>
      <c r="E33" s="15"/>
      <c r="F33" s="15"/>
    </row>
  </sheetData>
  <mergeCells count="1"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>
      <c r="A2" s="16" t="s">
        <v>77</v>
      </c>
    </row>
    <row r="3">
      <c r="A3" s="2" t="s">
        <v>78</v>
      </c>
      <c r="B3" s="17">
        <v>37403.0</v>
      </c>
      <c r="C3" s="17">
        <v>44538.0</v>
      </c>
      <c r="D3" s="17">
        <v>46710.0</v>
      </c>
      <c r="E3" s="17">
        <v>51217.0</v>
      </c>
      <c r="F3" s="17">
        <v>51362.0</v>
      </c>
    </row>
    <row r="4">
      <c r="A4" s="2" t="s">
        <v>79</v>
      </c>
      <c r="B4" s="17">
        <v>2887.0</v>
      </c>
      <c r="C4" s="17">
        <v>6736.0</v>
      </c>
      <c r="D4" s="17">
        <v>6651.0</v>
      </c>
      <c r="E4" s="17">
        <v>5915.0</v>
      </c>
      <c r="F4" s="17">
        <v>6311.0</v>
      </c>
    </row>
    <row r="5">
      <c r="A5" s="2" t="s">
        <v>31</v>
      </c>
      <c r="B5" s="8">
        <f t="shared" ref="B5:F5" si="1">B4/B3</f>
        <v>0.07718632195</v>
      </c>
      <c r="C5" s="8">
        <f t="shared" si="1"/>
        <v>0.1512416364</v>
      </c>
      <c r="D5" s="8">
        <f t="shared" si="1"/>
        <v>0.14238921</v>
      </c>
      <c r="E5" s="8">
        <f t="shared" si="1"/>
        <v>0.1154889978</v>
      </c>
      <c r="F5" s="8">
        <f t="shared" si="1"/>
        <v>0.1228729411</v>
      </c>
    </row>
    <row r="6">
      <c r="A6" s="2" t="s">
        <v>29</v>
      </c>
      <c r="B6" s="17"/>
      <c r="C6" s="8">
        <f t="shared" ref="C6:F6" si="2">(C3/B3)-1</f>
        <v>0.1907600995</v>
      </c>
      <c r="D6" s="8">
        <f t="shared" si="2"/>
        <v>0.04876734474</v>
      </c>
      <c r="E6" s="8">
        <f t="shared" si="2"/>
        <v>0.09648897452</v>
      </c>
      <c r="F6" s="8">
        <f t="shared" si="2"/>
        <v>0.002831091239</v>
      </c>
    </row>
    <row r="8">
      <c r="A8" s="16" t="s">
        <v>80</v>
      </c>
    </row>
    <row r="9">
      <c r="A9" s="2" t="s">
        <v>81</v>
      </c>
      <c r="B9" s="17">
        <v>705.0</v>
      </c>
      <c r="C9" s="17">
        <v>1258.0</v>
      </c>
      <c r="D9" s="17">
        <v>721.0</v>
      </c>
      <c r="E9" s="17">
        <v>703.0</v>
      </c>
      <c r="F9" s="17">
        <v>796.0</v>
      </c>
    </row>
    <row r="10">
      <c r="A10" s="2" t="s">
        <v>82</v>
      </c>
      <c r="B10" s="10">
        <f t="shared" ref="B10:F10" si="3">B9/B3</f>
        <v>0.01884875545</v>
      </c>
      <c r="C10" s="10">
        <f t="shared" si="3"/>
        <v>0.02824554313</v>
      </c>
      <c r="D10" s="10">
        <f t="shared" si="3"/>
        <v>0.01543566688</v>
      </c>
      <c r="E10" s="10">
        <f t="shared" si="3"/>
        <v>0.01372591132</v>
      </c>
      <c r="F10" s="10">
        <f t="shared" si="3"/>
        <v>0.01549783887</v>
      </c>
    </row>
    <row r="11">
      <c r="A11" s="2" t="s">
        <v>83</v>
      </c>
      <c r="B11" s="17">
        <v>-1028.0</v>
      </c>
      <c r="C11" s="2">
        <v>-973.0</v>
      </c>
      <c r="D11" s="2">
        <v>-1086.0</v>
      </c>
      <c r="E11" s="2">
        <v>-969.0</v>
      </c>
      <c r="F11" s="2">
        <v>-812.0</v>
      </c>
    </row>
    <row r="12">
      <c r="A12" s="2" t="s">
        <v>37</v>
      </c>
      <c r="B12" s="10">
        <f t="shared" ref="B12:F12" si="4">B11/B3</f>
        <v>-0.02748442638</v>
      </c>
      <c r="C12" s="10">
        <f t="shared" si="4"/>
        <v>-0.02184651309</v>
      </c>
      <c r="D12" s="10">
        <f t="shared" si="4"/>
        <v>-0.02324983943</v>
      </c>
      <c r="E12" s="10">
        <f t="shared" si="4"/>
        <v>-0.01891949938</v>
      </c>
      <c r="F12" s="10">
        <f t="shared" si="4"/>
        <v>-0.01580935322</v>
      </c>
    </row>
    <row r="13">
      <c r="A13" s="2" t="s">
        <v>84</v>
      </c>
      <c r="B13" s="17">
        <v>23.0</v>
      </c>
      <c r="C13" s="17">
        <v>-2427.0</v>
      </c>
      <c r="D13" s="2">
        <v>24.0</v>
      </c>
      <c r="E13" s="2">
        <v>-513.0</v>
      </c>
      <c r="F13" s="2">
        <v>716.0</v>
      </c>
    </row>
    <row r="14">
      <c r="A14" s="2" t="s">
        <v>85</v>
      </c>
      <c r="B14" s="10">
        <f t="shared" ref="B14:F14" si="5">B13/B3</f>
        <v>0.0006149239366</v>
      </c>
      <c r="C14" s="10">
        <f t="shared" si="5"/>
        <v>-0.05449279267</v>
      </c>
      <c r="D14" s="10">
        <f t="shared" si="5"/>
        <v>0.0005138086063</v>
      </c>
      <c r="E14" s="10">
        <f t="shared" si="5"/>
        <v>-0.01001620556</v>
      </c>
      <c r="F14" s="10">
        <f t="shared" si="5"/>
        <v>0.01394026712</v>
      </c>
    </row>
    <row r="16">
      <c r="A16" s="16" t="s">
        <v>86</v>
      </c>
      <c r="B16" s="8"/>
      <c r="C16" s="8"/>
    </row>
    <row r="17">
      <c r="A17" s="2" t="s">
        <v>66</v>
      </c>
      <c r="B17" s="17">
        <v>8348.0</v>
      </c>
      <c r="C17" s="17">
        <v>9889.0</v>
      </c>
      <c r="D17" s="17">
        <v>8574.0</v>
      </c>
      <c r="E17" s="17">
        <v>7441.0</v>
      </c>
      <c r="F17" s="17">
        <v>9860.0</v>
      </c>
    </row>
    <row r="18">
      <c r="A18" s="2" t="s">
        <v>67</v>
      </c>
      <c r="B18" s="17">
        <v>9412.0</v>
      </c>
      <c r="C18" s="17">
        <v>10920.0</v>
      </c>
      <c r="D18" s="17">
        <v>9420.0</v>
      </c>
      <c r="E18" s="17">
        <v>8927.0</v>
      </c>
      <c r="F18" s="17">
        <v>8903.0</v>
      </c>
    </row>
    <row r="19">
      <c r="A19" s="2" t="s">
        <v>87</v>
      </c>
      <c r="B19" s="17">
        <v>1592.0</v>
      </c>
      <c r="C19" s="17">
        <v>1579.0</v>
      </c>
      <c r="D19" s="17">
        <v>1611.0</v>
      </c>
      <c r="E19" s="17">
        <v>1266.0</v>
      </c>
      <c r="F19" s="17">
        <v>1205.0</v>
      </c>
    </row>
    <row r="20">
      <c r="B20" s="17"/>
      <c r="C20" s="17"/>
    </row>
    <row r="21">
      <c r="B21" s="17"/>
    </row>
    <row r="22">
      <c r="B22" s="17"/>
    </row>
    <row r="23">
      <c r="B23" s="18"/>
    </row>
    <row r="24">
      <c r="B24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6" t="s">
        <v>88</v>
      </c>
      <c r="B1" s="6" t="s">
        <v>89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</row>
    <row r="3">
      <c r="A3" s="2" t="s">
        <v>78</v>
      </c>
      <c r="B3" s="13">
        <f>'Historical Financials'!F3</f>
        <v>51362</v>
      </c>
      <c r="C3" s="14">
        <f t="shared" ref="C3:G3" si="1">B3*(1+C4)</f>
        <v>53930.1</v>
      </c>
      <c r="D3" s="14">
        <f t="shared" si="1"/>
        <v>56356.9545</v>
      </c>
      <c r="E3" s="14">
        <f t="shared" si="1"/>
        <v>58611.23268</v>
      </c>
      <c r="F3" s="14">
        <f t="shared" si="1"/>
        <v>60662.62582</v>
      </c>
      <c r="G3" s="14">
        <f t="shared" si="1"/>
        <v>62482.5046</v>
      </c>
    </row>
    <row r="4">
      <c r="A4" s="2" t="s">
        <v>29</v>
      </c>
      <c r="C4" s="19">
        <f>Assumptions!C2</f>
        <v>0.05</v>
      </c>
      <c r="D4" s="10">
        <f>Assumptions!D2</f>
        <v>0.045</v>
      </c>
      <c r="E4" s="19">
        <f>Assumptions!E2</f>
        <v>0.04</v>
      </c>
      <c r="F4" s="10">
        <f>Assumptions!F2</f>
        <v>0.035</v>
      </c>
      <c r="G4" s="19">
        <f>Assumptions!G2</f>
        <v>0.03</v>
      </c>
    </row>
    <row r="6">
      <c r="A6" s="2" t="s">
        <v>31</v>
      </c>
      <c r="C6" s="10">
        <f>Assumptions!C3</f>
        <v>0.125</v>
      </c>
      <c r="D6" s="10">
        <f>Assumptions!D3</f>
        <v>0.13</v>
      </c>
      <c r="E6" s="10">
        <f>Assumptions!E3</f>
        <v>0.135</v>
      </c>
      <c r="F6" s="10">
        <f>Assumptions!F3</f>
        <v>0.14</v>
      </c>
      <c r="G6" s="10">
        <f>Assumptions!G3</f>
        <v>0.14</v>
      </c>
    </row>
    <row r="7">
      <c r="A7" s="2" t="s">
        <v>90</v>
      </c>
      <c r="B7" s="13">
        <f>'Historical Financials'!F4</f>
        <v>6311</v>
      </c>
      <c r="C7" s="14">
        <f t="shared" ref="C7:G7" si="2">C3*C6</f>
        <v>6741.2625</v>
      </c>
      <c r="D7" s="14">
        <f t="shared" si="2"/>
        <v>7326.404085</v>
      </c>
      <c r="E7" s="14">
        <f t="shared" si="2"/>
        <v>7912.516412</v>
      </c>
      <c r="F7" s="14">
        <f t="shared" si="2"/>
        <v>8492.767615</v>
      </c>
      <c r="G7" s="14">
        <f t="shared" si="2"/>
        <v>8747.550644</v>
      </c>
    </row>
    <row r="9">
      <c r="A9" s="2" t="s">
        <v>91</v>
      </c>
      <c r="C9" s="14">
        <f>-C7*Assumptions!C4</f>
        <v>-1213.42725</v>
      </c>
      <c r="D9" s="14">
        <f>-D7*Assumptions!D4</f>
        <v>-1318.752735</v>
      </c>
      <c r="E9" s="14">
        <f>-E7*Assumptions!E4</f>
        <v>-1424.252954</v>
      </c>
      <c r="F9" s="14">
        <f>-F7*Assumptions!F4</f>
        <v>-1528.698171</v>
      </c>
      <c r="G9" s="14">
        <f>-G7*Assumptions!G4</f>
        <v>-1574.559116</v>
      </c>
    </row>
    <row r="10">
      <c r="A10" s="2" t="s">
        <v>92</v>
      </c>
      <c r="C10" s="14">
        <f t="shared" ref="C10:G10" si="3">C7+C9</f>
        <v>5527.83525</v>
      </c>
      <c r="D10" s="14">
        <f t="shared" si="3"/>
        <v>6007.65135</v>
      </c>
      <c r="E10" s="14">
        <f t="shared" si="3"/>
        <v>6488.263458</v>
      </c>
      <c r="F10" s="14">
        <f t="shared" si="3"/>
        <v>6964.069445</v>
      </c>
      <c r="G10" s="14">
        <f t="shared" si="3"/>
        <v>7172.991528</v>
      </c>
    </row>
    <row r="12">
      <c r="A12" s="2" t="s">
        <v>93</v>
      </c>
      <c r="C12" s="14">
        <f>C3*Assumptions!C5</f>
        <v>808.9515</v>
      </c>
      <c r="D12" s="14">
        <f>D3*Assumptions!D5</f>
        <v>845.3543175</v>
      </c>
      <c r="E12" s="14">
        <f>E3*Assumptions!E5</f>
        <v>879.1684902</v>
      </c>
      <c r="F12" s="14">
        <f>F3*Assumptions!F5</f>
        <v>909.9393874</v>
      </c>
      <c r="G12" s="14">
        <f>G3*Assumptions!G5</f>
        <v>937.237569</v>
      </c>
    </row>
    <row r="13">
      <c r="A13" s="2" t="s">
        <v>83</v>
      </c>
      <c r="C13" s="14">
        <f>C3*Assumptions!C6</f>
        <v>-1078.602</v>
      </c>
      <c r="D13" s="14">
        <f>D3*Assumptions!D6</f>
        <v>-1127.13909</v>
      </c>
      <c r="E13" s="14">
        <f>E3*Assumptions!E6</f>
        <v>-1172.224654</v>
      </c>
      <c r="F13" s="14">
        <f>F3*Assumptions!F6</f>
        <v>-1213.252516</v>
      </c>
      <c r="G13" s="14">
        <f>G3*Assumptions!G6</f>
        <v>-1249.650092</v>
      </c>
    </row>
    <row r="14">
      <c r="A14" s="2" t="s">
        <v>84</v>
      </c>
      <c r="C14" s="14">
        <f>C3*Assumptions!C7</f>
        <v>-269.6505</v>
      </c>
      <c r="D14" s="14">
        <f>D3*Assumptions!D7</f>
        <v>-281.7847725</v>
      </c>
      <c r="E14" s="14">
        <f>E3*Assumptions!E7</f>
        <v>-293.0561634</v>
      </c>
      <c r="F14" s="14">
        <f>F3*Assumptions!F7</f>
        <v>-303.3131291</v>
      </c>
      <c r="G14" s="14">
        <f>G3*Assumptions!G7</f>
        <v>-312.412523</v>
      </c>
    </row>
    <row r="16">
      <c r="A16" s="2" t="s">
        <v>60</v>
      </c>
      <c r="C16" s="13">
        <f t="shared" ref="C16:G16" si="4">C10+C12+C13+C14</f>
        <v>4988.53425</v>
      </c>
      <c r="D16" s="13">
        <f t="shared" si="4"/>
        <v>5444.081805</v>
      </c>
      <c r="E16" s="13">
        <f t="shared" si="4"/>
        <v>5902.151131</v>
      </c>
      <c r="F16" s="13">
        <f t="shared" si="4"/>
        <v>6357.443186</v>
      </c>
      <c r="G16" s="13">
        <f t="shared" si="4"/>
        <v>6548.166482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9" max="9" width="17.63"/>
  </cols>
  <sheetData>
    <row r="1">
      <c r="A1" s="2" t="s">
        <v>94</v>
      </c>
    </row>
    <row r="3">
      <c r="C3" s="7">
        <v>0.02</v>
      </c>
      <c r="D3" s="8">
        <v>0.0225</v>
      </c>
      <c r="E3" s="8">
        <v>0.025</v>
      </c>
      <c r="F3" s="8">
        <v>0.0275</v>
      </c>
      <c r="G3" s="7">
        <v>0.03</v>
      </c>
    </row>
    <row r="4">
      <c r="B4" s="8">
        <v>0.075</v>
      </c>
      <c r="C4" s="14">
        <f>IFERROR(
(
  (
    (
      'DCF Valuation'!F20 * (1 + C$3)
    ) / ($B4 - C$3)
  ) * 'DCF Valuation'!F18
  + SUM('DCF Valuation'!B21:F21)
  - 'DCF Valuation'!B29
  + 'DCF Valuation'!B28
)
/ 'DCF Valuation'!B32,
""
)
</f>
        <v>88.0296772</v>
      </c>
      <c r="D4" s="14">
        <f>((('DCF Valuation'!F20*(1+D$3))/($B4-D$3))*'DCF Valuation'!F18
+SUM('DCF Valuation'!B21:F21)
-'DCF Valuation'!B29
+'DCF Valuation'!B28)
/'DCF Valuation'!B32
</f>
        <v>91.44937051</v>
      </c>
      <c r="E4" s="14">
        <f>((('DCF Valuation'!F20*(1+E$3))/($B4-E$3))*'DCF Valuation'!F18
+SUM('DCF Valuation'!B21:F21)
-'DCF Valuation'!B29
+'DCF Valuation'!B28)
/'DCF Valuation'!B32
</f>
        <v>95.21103316</v>
      </c>
      <c r="F4" s="14">
        <f>((('DCF Valuation'!F20*(1+F$3))/($B4-F$3))*'DCF Valuation'!F18
+SUM('DCF Valuation'!B21:F21)
-'DCF Valuation'!B29
+'DCF Valuation'!B28)
/'DCF Valuation'!B32
</f>
        <v>99.36866029</v>
      </c>
      <c r="G4" s="14">
        <f>((('DCF Valuation'!F20*(1+G$3))/($B4-G$3))*'DCF Valuation'!F18
+SUM('DCF Valuation'!B21:F21)
-'DCF Valuation'!B29
+'DCF Valuation'!B28)
/'DCF Valuation'!B32
</f>
        <v>103.988246</v>
      </c>
      <c r="I4" s="2" t="s">
        <v>58</v>
      </c>
      <c r="J4" s="10">
        <f>'DCF Valuation'!B16</f>
        <v>0.08142</v>
      </c>
    </row>
    <row r="5">
      <c r="B5" s="7">
        <v>0.08</v>
      </c>
      <c r="C5" s="14">
        <f>(
(
('DCF Valuation'!F20*(1+C$3))/($B5-C$3)
)*'DCF Valuation'!F18
+SUM('DCF Valuation'!B21:F21)
-'DCF Valuation'!B29
+'DCF Valuation'!B28
)
/'DCF Valuation'!B32
</f>
        <v>82.35139574</v>
      </c>
      <c r="D5" s="14">
        <f>((('DCF Valuation'!F20*(1+D$3))/($B5-D$3))*'DCF Valuation'!F18
+SUM('DCF Valuation'!B21:F21)
-'DCF Valuation'!B29
+'DCF Valuation'!B28)
/'DCF Valuation'!B32
</f>
        <v>85.22684262</v>
      </c>
      <c r="E5" s="14">
        <f>((('DCF Valuation'!F20*(1+E$3))/($B5-E$3))*'DCF Valuation'!F18
+SUM('DCF Valuation'!B21:F21)
-'DCF Valuation'!B29
+'DCF Valuation'!B28)
/'DCF Valuation'!B32
</f>
        <v>88.36369375</v>
      </c>
      <c r="F5" s="14">
        <f>((('DCF Valuation'!F20*(1+F$3))/($B5-F$3))*'DCF Valuation'!F18
+SUM('DCF Valuation'!B21:F21)
-'DCF Valuation'!B29
+'DCF Valuation'!B28)
/'DCF Valuation'!B32
</f>
        <v>91.79929262</v>
      </c>
      <c r="G5" s="14">
        <f>((('DCF Valuation'!F20*(1+G$3))/($B5-G$3))*'DCF Valuation'!F18
+SUM('DCF Valuation'!B21:F21)
-'DCF Valuation'!B29
+'DCF Valuation'!B28)
/'DCF Valuation'!B32
</f>
        <v>95.57845137</v>
      </c>
      <c r="I5" s="2" t="s">
        <v>62</v>
      </c>
      <c r="J5" s="10">
        <f>'DCF Valuation'!B23</f>
        <v>0.025</v>
      </c>
    </row>
    <row r="6">
      <c r="B6" s="8">
        <v>0.085</v>
      </c>
      <c r="C6" s="20">
        <f>(
(
('DCF Valuation'!F20*(1+C$3))/($B6-C$3)
)*'DCF Valuation'!F18
+SUM('DCF Valuation'!B21:F21)
-'DCF Valuation'!B29
+'DCF Valuation'!B28
)
/'DCF Valuation'!B32
</f>
        <v>77.54669604</v>
      </c>
      <c r="D6" s="14">
        <f>((('DCF Valuation'!F20*(1+D$3))/($B6-D$3))*'DCF Valuation'!F18
+SUM('DCF Valuation'!B21:F21)
-'DCF Valuation'!B29
+'DCF Valuation'!B28)
/'DCF Valuation'!B32
</f>
        <v>79.99991918</v>
      </c>
      <c r="E6" s="14">
        <f>((('DCF Valuation'!F20*(1+E$3))/($B6-E$3))*'DCF Valuation'!F18
+SUM('DCF Valuation'!B21:F21)
-'DCF Valuation'!B29
+'DCF Valuation'!B28)
/'DCF Valuation'!B32
</f>
        <v>82.65757758</v>
      </c>
      <c r="F6" s="14">
        <f>((('DCF Valuation'!F20*(1+F$3))/($B6-F$3))*'DCF Valuation'!F18
+SUM('DCF Valuation'!B21:F21)
-'DCF Valuation'!B29
+'DCF Valuation'!B28)
/'DCF Valuation'!B32
</f>
        <v>85.54633671</v>
      </c>
      <c r="G6" s="14">
        <f>((('DCF Valuation'!F20*(1+G$3))/($B6-G$3))*'DCF Valuation'!F18
+SUM('DCF Valuation'!B21:F21)
-'DCF Valuation'!B29
+'DCF Valuation'!B28)
/'DCF Valuation'!B32
</f>
        <v>88.69771031</v>
      </c>
    </row>
    <row r="7">
      <c r="B7" s="7">
        <v>0.09</v>
      </c>
      <c r="C7" s="20">
        <f>(
(
('DCF Valuation'!F20*(1+C$3))/($B7-C$3)
)*'DCF Valuation'!F18
+SUM('DCF Valuation'!B21:F21)
-'DCF Valuation'!B29
+'DCF Valuation'!B28
)
/'DCF Valuation'!B32
</f>
        <v>73.42838202</v>
      </c>
      <c r="D7" s="14">
        <f>((('DCF Valuation'!F20*(1+D$3))/($B7-D$3))*'DCF Valuation'!F18
+SUM('DCF Valuation'!B21:F21)
-'DCF Valuation'!B29
+'DCF Valuation'!B28)
/'DCF Valuation'!B32
</f>
        <v>75.54735478</v>
      </c>
      <c r="E7" s="14">
        <f>((('DCF Valuation'!F20*(1+E$3))/($B7-E$3))*'DCF Valuation'!F18
+SUM('DCF Valuation'!B21:F21)
-'DCF Valuation'!B29
+'DCF Valuation'!B28)
/'DCF Valuation'!B32
</f>
        <v>77.82932544</v>
      </c>
      <c r="F7" s="14">
        <f>((('DCF Valuation'!F20*(1+F$3))/($B7-F$3))*'DCF Valuation'!F18
+SUM('DCF Valuation'!B21:F21)
-'DCF Valuation'!B29
+'DCF Valuation'!B28)
/'DCF Valuation'!B32
</f>
        <v>80.29385375</v>
      </c>
      <c r="G7" s="14">
        <f>((('DCF Valuation'!F20*(1+G$3))/($B7-G$3))*'DCF Valuation'!F18
+SUM('DCF Valuation'!B21:F21)
-'DCF Valuation'!B29
+'DCF Valuation'!B28)
/'DCF Valuation'!B32
</f>
        <v>82.96375943</v>
      </c>
    </row>
    <row r="8">
      <c r="B8" s="8">
        <v>0.095</v>
      </c>
      <c r="C8" s="20">
        <f>(
(
('DCF Valuation'!F20*(1+C$3))/($B8-C$3)
)*'DCF Valuation'!F18
+SUM('DCF Valuation'!B21:F21)
-'DCF Valuation'!B29
+'DCF Valuation'!B28
)
/'DCF Valuation'!B32
</f>
        <v>69.85917653</v>
      </c>
      <c r="D8" s="14">
        <f>((('DCF Valuation'!F20*(1+D$3))/($B8-D$3))*'DCF Valuation'!F18
+SUM('DCF Valuation'!B21:F21)
-'DCF Valuation'!B29
+'DCF Valuation'!B28)
/'DCF Valuation'!B32
</f>
        <v>71.70893719</v>
      </c>
      <c r="E8" s="14">
        <f>((('DCF Valuation'!F20*(1+E$3))/($B8-E$3))*'DCF Valuation'!F18
+SUM('DCF Valuation'!B21:F21)
-'DCF Valuation'!B29
+'DCF Valuation'!B28)
/'DCF Valuation'!B32
</f>
        <v>73.6908236</v>
      </c>
      <c r="F8" s="14">
        <f>((('DCF Valuation'!F20*(1+F$3))/($B8-F$3))*'DCF Valuation'!F18
+SUM('DCF Valuation'!B21:F21)
-'DCF Valuation'!B29
+'DCF Valuation'!B28)
/'DCF Valuation'!B32
</f>
        <v>75.81951642</v>
      </c>
      <c r="G8" s="14">
        <f>((('DCF Valuation'!F20*(1+G$3))/($B8-G$3))*'DCF Valuation'!F18
+SUM('DCF Valuation'!B21:F21)
-'DCF Valuation'!B29
+'DCF Valuation'!B28)
/'DCF Valuation'!B32
</f>
        <v>78.11195483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15.75"/>
    <col customWidth="1" min="6" max="6" width="22.0"/>
    <col customWidth="1" min="7" max="7" width="21.25"/>
  </cols>
  <sheetData>
    <row r="1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</row>
    <row r="2">
      <c r="A2" s="2" t="s">
        <v>102</v>
      </c>
      <c r="B2" s="2" t="s">
        <v>103</v>
      </c>
      <c r="C2" s="2">
        <v>87.52</v>
      </c>
      <c r="D2" s="2">
        <v>46.51</v>
      </c>
      <c r="E2" s="2">
        <v>3.82</v>
      </c>
      <c r="F2" s="2">
        <v>1.88</v>
      </c>
      <c r="G2" s="2">
        <v>28.77</v>
      </c>
    </row>
    <row r="3">
      <c r="A3" s="2" t="s">
        <v>104</v>
      </c>
      <c r="B3" s="2" t="s">
        <v>105</v>
      </c>
      <c r="C3" s="2">
        <v>39.23</v>
      </c>
      <c r="D3" s="2">
        <v>24.7</v>
      </c>
      <c r="E3" s="2">
        <v>2.43</v>
      </c>
      <c r="F3" s="2">
        <v>1.36</v>
      </c>
      <c r="G3" s="2">
        <v>10.9</v>
      </c>
    </row>
    <row r="4">
      <c r="A4" s="2" t="s">
        <v>106</v>
      </c>
      <c r="B4" s="2" t="s">
        <v>107</v>
      </c>
      <c r="C4" s="2">
        <v>25.64</v>
      </c>
      <c r="D4" s="2">
        <v>11.07</v>
      </c>
      <c r="E4" s="2">
        <v>2.94</v>
      </c>
      <c r="F4" s="2">
        <v>2.32</v>
      </c>
      <c r="G4" s="2">
        <v>8.73</v>
      </c>
    </row>
    <row r="5">
      <c r="A5" s="2" t="s">
        <v>108</v>
      </c>
      <c r="B5" s="21" t="s">
        <v>109</v>
      </c>
      <c r="C5" s="2">
        <v>5.67</v>
      </c>
      <c r="D5" s="2">
        <v>8.26</v>
      </c>
      <c r="E5" s="2">
        <v>0.366</v>
      </c>
      <c r="F5" s="2">
        <v>0.69</v>
      </c>
      <c r="G5" s="2">
        <v>84.74</v>
      </c>
    </row>
    <row r="6">
      <c r="A6" s="2" t="s">
        <v>110</v>
      </c>
      <c r="B6" s="2" t="s">
        <v>111</v>
      </c>
      <c r="C6" s="2">
        <v>3.39</v>
      </c>
      <c r="D6" s="2">
        <v>5.05</v>
      </c>
      <c r="E6" s="2">
        <v>0.232</v>
      </c>
      <c r="F6" s="2">
        <v>0.67</v>
      </c>
      <c r="G6" s="2">
        <v>20.85</v>
      </c>
    </row>
    <row r="8">
      <c r="A8" s="22" t="s">
        <v>112</v>
      </c>
      <c r="B8" s="23"/>
      <c r="C8" s="23"/>
      <c r="D8" s="23"/>
      <c r="E8" s="23"/>
      <c r="F8" s="23"/>
      <c r="G8" s="23"/>
    </row>
    <row r="9">
      <c r="A9" s="23"/>
      <c r="B9" s="23"/>
      <c r="C9" s="23"/>
      <c r="D9" s="23"/>
      <c r="E9" s="23"/>
      <c r="F9" s="6" t="s">
        <v>113</v>
      </c>
      <c r="G9" s="6" t="s">
        <v>114</v>
      </c>
    </row>
    <row r="10">
      <c r="A10" s="23"/>
      <c r="B10" s="23"/>
      <c r="C10" s="23"/>
      <c r="D10" s="23"/>
      <c r="E10" s="23"/>
      <c r="F10" s="23">
        <f t="shared" ref="F10:G10" si="1">MEDIAN(F2:F4,F6)</f>
        <v>1.62</v>
      </c>
      <c r="G10" s="23">
        <f t="shared" si="1"/>
        <v>15.875</v>
      </c>
    </row>
    <row r="12">
      <c r="F12" s="3" t="s">
        <v>115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13"/>
    <col customWidth="1" min="3" max="3" width="13.5"/>
    <col customWidth="1" min="4" max="4" width="26.13"/>
    <col customWidth="1" min="5" max="5" width="23.38"/>
    <col customWidth="1" min="8" max="8" width="16.88"/>
  </cols>
  <sheetData>
    <row r="1">
      <c r="A1" s="2" t="s">
        <v>116</v>
      </c>
      <c r="B1" s="2" t="s">
        <v>117</v>
      </c>
      <c r="C1" s="2" t="s">
        <v>118</v>
      </c>
      <c r="D1" s="2" t="s">
        <v>119</v>
      </c>
    </row>
    <row r="2">
      <c r="A2" s="2" t="s">
        <v>100</v>
      </c>
      <c r="B2" s="14">
        <f>((F9 * F3 * 1000) - F5) / F6
</f>
        <v>53.94296266</v>
      </c>
      <c r="C2" s="14">
        <f>((F10 * F3 * 1000) - F5) / F6
</f>
        <v>72.7013527</v>
      </c>
      <c r="D2" s="14">
        <f t="shared" ref="D2:D5" si="1">C2-B2</f>
        <v>18.75839004</v>
      </c>
    </row>
    <row r="3">
      <c r="A3" s="2" t="s">
        <v>101</v>
      </c>
      <c r="B3" s="14">
        <f>((F11 * F4 * 1000) - F5) / F6
</f>
        <v>43.57105809</v>
      </c>
      <c r="C3" s="14">
        <f>((F12 * F4 * 1000) - F5) / F6
</f>
        <v>58.66877593</v>
      </c>
      <c r="D3" s="14">
        <f t="shared" si="1"/>
        <v>15.09771784</v>
      </c>
      <c r="E3" s="2" t="s">
        <v>120</v>
      </c>
      <c r="F3" s="24">
        <f>'Public Comps '!D2</f>
        <v>46.51</v>
      </c>
    </row>
    <row r="4">
      <c r="A4" s="2" t="s">
        <v>121</v>
      </c>
      <c r="B4" s="20">
        <f>F7</f>
        <v>86.64032935</v>
      </c>
      <c r="C4" s="2">
        <f>87.1</f>
        <v>87.1</v>
      </c>
      <c r="D4" s="14">
        <f t="shared" si="1"/>
        <v>0.459670649</v>
      </c>
      <c r="E4" s="2" t="s">
        <v>99</v>
      </c>
      <c r="F4" s="24">
        <f>'Public Comps '!E2</f>
        <v>3.82</v>
      </c>
    </row>
    <row r="5">
      <c r="A5" s="2" t="s">
        <v>122</v>
      </c>
      <c r="B5" s="2">
        <v>57.34</v>
      </c>
      <c r="C5" s="2">
        <v>57.44</v>
      </c>
      <c r="D5" s="24">
        <f t="shared" si="1"/>
        <v>0.1</v>
      </c>
      <c r="E5" s="2" t="s">
        <v>123</v>
      </c>
      <c r="F5" s="13">
        <f>'DCF Valuation'!B30</f>
        <v>-957</v>
      </c>
    </row>
    <row r="6">
      <c r="E6" s="2" t="s">
        <v>124</v>
      </c>
      <c r="F6" s="13">
        <f>'DCF Valuation'!B32</f>
        <v>1205</v>
      </c>
    </row>
    <row r="7">
      <c r="E7" s="2" t="s">
        <v>125</v>
      </c>
      <c r="F7" s="14">
        <f>'DCF Valuation'!B33</f>
        <v>86.64032935</v>
      </c>
    </row>
    <row r="9">
      <c r="E9" s="2" t="s">
        <v>126</v>
      </c>
      <c r="F9" s="2">
        <v>1.377</v>
      </c>
    </row>
    <row r="10">
      <c r="E10" s="2" t="s">
        <v>127</v>
      </c>
      <c r="F10" s="2">
        <v>1.863</v>
      </c>
    </row>
    <row r="11">
      <c r="E11" s="2" t="s">
        <v>128</v>
      </c>
      <c r="F11" s="2">
        <v>13.49375</v>
      </c>
    </row>
    <row r="12">
      <c r="E12" s="2" t="s">
        <v>129</v>
      </c>
      <c r="F12" s="2">
        <v>18.25625</v>
      </c>
    </row>
  </sheetData>
  <drawing r:id="rId1"/>
</worksheet>
</file>